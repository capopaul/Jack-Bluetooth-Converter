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Paul/Documents/Mes-Projets/2025/Jack - Bluetooth Converter/v3.1/doc/bom/"/>
    </mc:Choice>
  </mc:AlternateContent>
  <xr:revisionPtr revIDLastSave="0" documentId="13_ncr:9_{5B11D16C-412C-264D-9656-94676611B4CE}" xr6:coauthVersionLast="47" xr6:coauthVersionMax="47" xr10:uidLastSave="{00000000-0000-0000-0000-000000000000}"/>
  <bookViews>
    <workbookView xWindow="38380" yWindow="620" windowWidth="19220" windowHeight="25000" xr2:uid="{07C9DF5E-C815-4445-A5B1-1DCC832993C3}"/>
  </bookViews>
  <sheets>
    <sheet name="bom_rev3.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" l="1"/>
  <c r="F44" i="1"/>
  <c r="F42" i="1"/>
  <c r="F41" i="1"/>
  <c r="F40" i="1"/>
  <c r="F39" i="1"/>
  <c r="F38" i="1"/>
  <c r="F37" i="1"/>
  <c r="F36" i="1"/>
  <c r="F35" i="1"/>
  <c r="F32" i="1"/>
  <c r="F30" i="1"/>
  <c r="F28" i="1"/>
  <c r="F18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<sst xmlns="http://schemas.openxmlformats.org/spreadsheetml/2006/main" count="160" uniqueCount="131">
  <si>
    <t>Reference</t>
  </si>
  <si>
    <t>Value</t>
  </si>
  <si>
    <t>Footprint</t>
  </si>
  <si>
    <t>Qty</t>
  </si>
  <si>
    <t>DNP</t>
  </si>
  <si>
    <t>C1,C2,C3,C6,C7,C11,C12,C14,C15,C25,C27,C29,C35,C38</t>
  </si>
  <si>
    <t>0.1uF</t>
  </si>
  <si>
    <t>Capacitor_SMD:C_0805_2012Metric_Pad1.18x1.45mm_HandSolder</t>
  </si>
  <si>
    <t>C4,C5,C8,C9,C13,C17,C19,C30</t>
  </si>
  <si>
    <t>1uF</t>
  </si>
  <si>
    <t>C10,C18,C20,C21,C22,C26,C28,C31,C36,C37</t>
  </si>
  <si>
    <t>10uF</t>
  </si>
  <si>
    <t>C16,C32,C33</t>
  </si>
  <si>
    <t>4.7uF</t>
  </si>
  <si>
    <t>C23</t>
  </si>
  <si>
    <t>47nF</t>
  </si>
  <si>
    <t>C24</t>
  </si>
  <si>
    <t>22uF</t>
  </si>
  <si>
    <t>C34</t>
  </si>
  <si>
    <t>1u</t>
  </si>
  <si>
    <t>C39,C40,C41,C42</t>
  </si>
  <si>
    <t>C43</t>
  </si>
  <si>
    <t>100uF</t>
  </si>
  <si>
    <t>D1,D2,D4,D7,D8</t>
  </si>
  <si>
    <t>LED - green</t>
  </si>
  <si>
    <t>LED_SMD:LED_0805_2012Metric_Pad1.15x1.40mm_HandSolder</t>
  </si>
  <si>
    <t>D3</t>
  </si>
  <si>
    <t>1N5819</t>
  </si>
  <si>
    <t>Diode_SMD:D_SOD-123</t>
  </si>
  <si>
    <t>D5</t>
  </si>
  <si>
    <t>SMF5V0A-E3-08</t>
  </si>
  <si>
    <t>LIB_SMF5V0A-E3-08:SMF5V0AE308</t>
  </si>
  <si>
    <t>F1,F2</t>
  </si>
  <si>
    <t>Polyfuse</t>
  </si>
  <si>
    <t>Fuse:Fuse_1210_3225Metric_Pad1.42x2.65mm_HandSolder</t>
  </si>
  <si>
    <t>IC1</t>
  </si>
  <si>
    <t>TLV320AIC3101IRHBR</t>
  </si>
  <si>
    <t>TLV320AIC3101IRHBR:QFN50P500X500X100-33N-D</t>
  </si>
  <si>
    <t>IC2</t>
  </si>
  <si>
    <t>BQ25619RTWR</t>
  </si>
  <si>
    <t>BQ25619RTWR:QFN50P400X400X80-25N-D</t>
  </si>
  <si>
    <t>IC3</t>
  </si>
  <si>
    <t>MCP23008T-E_SO</t>
  </si>
  <si>
    <t>LIB_MCP23008T-E_SO:SOIC127P1030X265-18N</t>
  </si>
  <si>
    <t>IC4,IC5</t>
  </si>
  <si>
    <t>TPS62A01PDDCR</t>
  </si>
  <si>
    <t>TPS62A01PDDCR:SOT95P280X110-6N</t>
  </si>
  <si>
    <t>IC7</t>
  </si>
  <si>
    <t>ESP32-WROVER-E-N16R8</t>
  </si>
  <si>
    <t>ESP32-WROVER-E-N16R8:ESP32WROVEREN16R8</t>
  </si>
  <si>
    <t>J1</t>
  </si>
  <si>
    <t>SJ3-35063A</t>
  </si>
  <si>
    <t>LIB_SJ3-35063A:SJ335063A</t>
  </si>
  <si>
    <t>J2</t>
  </si>
  <si>
    <t>USB_C_Receptacle</t>
  </si>
  <si>
    <t>Connector_USB:USB_C_Receptacle_GCT_USB4105-xx-A_16P_TopMnt_Horizontal</t>
  </si>
  <si>
    <t>J3,J5,J10</t>
  </si>
  <si>
    <t>Conn_01x03_Pin</t>
  </si>
  <si>
    <t>Connector_PinHeader_2.54mm:PinHeader_1x03_P2.54mm_Vertical</t>
  </si>
  <si>
    <t>J4</t>
  </si>
  <si>
    <t>SJ1-2503A</t>
  </si>
  <si>
    <t>LIB_SJ1-2503A:SJ12503A</t>
  </si>
  <si>
    <t>J6</t>
  </si>
  <si>
    <t>Conn_01x04_Pin</t>
  </si>
  <si>
    <t>Connector_PinHeader_2.54mm:PinHeader_1x04_P2.54mm_Vertical</t>
  </si>
  <si>
    <t>J7,J8</t>
  </si>
  <si>
    <t>Conn_01x02_Pin</t>
  </si>
  <si>
    <t>Connector_PinHeader_2.00mm:PinHeader_1x02_P2.00mm_Vertical,Connector_PinHeader_2.54mm:PinHeader_1x02_P2.54mm_Vertical</t>
  </si>
  <si>
    <t>J9</t>
  </si>
  <si>
    <t>Conn_01x08_Pin</t>
  </si>
  <si>
    <t>Connector_PinHeader_2.54mm:PinHeader_1x08_P2.54mm_Vertical</t>
  </si>
  <si>
    <t>JP1</t>
  </si>
  <si>
    <t>Jumper_3_Open</t>
  </si>
  <si>
    <t>L1,L2,L3</t>
  </si>
  <si>
    <t>1uH</t>
  </si>
  <si>
    <t>Inductor_SMD:L_0805_2012Metric,Inductor_SMD:L_0805_2012Metric_Pad1.05x1.20mm_HandSolder</t>
  </si>
  <si>
    <t>PS1</t>
  </si>
  <si>
    <t>TLV75801PDBVR</t>
  </si>
  <si>
    <t>TLV75801PDBVR:SOT95P280X145-5N</t>
  </si>
  <si>
    <t>Q1</t>
  </si>
  <si>
    <t>DMP3099L-13</t>
  </si>
  <si>
    <t>DMP3099L-13:SOT96P240X115-3N</t>
  </si>
  <si>
    <t>Q2,Q3</t>
  </si>
  <si>
    <t>BC846</t>
  </si>
  <si>
    <t>Package_TO_SOT_SMD:SOT-23</t>
  </si>
  <si>
    <t>R1,R2,R3,R22,R37,R40</t>
  </si>
  <si>
    <t>100k</t>
  </si>
  <si>
    <t>Resistor_SMD:R_0805_2012Metric_Pad1.20x1.40mm_HandSolder</t>
  </si>
  <si>
    <t>R4,R7,R8,R9</t>
  </si>
  <si>
    <t>R5,R6</t>
  </si>
  <si>
    <t>5.1k</t>
  </si>
  <si>
    <t>10k</t>
  </si>
  <si>
    <t>R12,R16,R17,R18,R23</t>
  </si>
  <si>
    <t>R25</t>
  </si>
  <si>
    <t>750k</t>
  </si>
  <si>
    <t>R26,R38</t>
  </si>
  <si>
    <t>150k</t>
  </si>
  <si>
    <t>R33,R35</t>
  </si>
  <si>
    <t>499k</t>
  </si>
  <si>
    <t>R36</t>
  </si>
  <si>
    <t>200k</t>
  </si>
  <si>
    <t>R39</t>
  </si>
  <si>
    <t>300k</t>
  </si>
  <si>
    <t>SW1,SW2,SW3,SW4,SW6</t>
  </si>
  <si>
    <t>SW_Push</t>
  </si>
  <si>
    <t>Button_Switch_THT:SW_PUSH_6mm</t>
  </si>
  <si>
    <t>SW5,SW7</t>
  </si>
  <si>
    <t>SW_SPDT</t>
  </si>
  <si>
    <t>SLW-10558:SLW-105558-2A-N-D</t>
  </si>
  <si>
    <t>TP1,TP3,TP4,TP5,TP7,TP8,TP9,TP10,TP11,TP12,TP13,TP14,TP15,TP16,TP17,TP18,TP19,TP20,TP21,TP22,TP23,TP24,TP25,TP26,TP27,TP28,TP29,TP30,TP31,TP32,TP33,TP34</t>
  </si>
  <si>
    <t>TestPoint</t>
  </si>
  <si>
    <t>TestPoint:TestPoint_Pad_D1.0mm</t>
  </si>
  <si>
    <t>In stock</t>
  </si>
  <si>
    <t>Mouser Order Qty</t>
  </si>
  <si>
    <t>Mouser link</t>
  </si>
  <si>
    <t>yes</t>
  </si>
  <si>
    <t>https://www.mouser.com/ProductDetail/Diotec-Semiconductor/BC847C?qs=OlC7AqGiEDk0PXN3L3oHIA%3D%3D</t>
  </si>
  <si>
    <t>https://www.mouser.com/ProductDetail/YAGEO/SMDH1210B075TF?qs=jcD%2FCkGBYeNNlx%252BgVT6y1Q%3D%3D</t>
  </si>
  <si>
    <t>https://www.mouser.com/ProductDetail/Vishay-General-Semiconductor/SMF5V0A-E3-08?qs=EyVtPm1F4ikqcWJqcCJ5GA%3D%3D</t>
  </si>
  <si>
    <t>https://www.mouser.com/ProductDetail/Microchip-Technology/MCP23008T-E-SO?qs=L9Ynyw3fbhGdT1w2KdF%2FLQ%3D%3D</t>
  </si>
  <si>
    <t>https://www.mouser.com/ProductDetail/Texas-Instruments/BQ25619RTWR?qs=P1JMDcb91o4l29Awilrd0w%3D%3D</t>
  </si>
  <si>
    <t>https://www.mouser.com/ProductDetail/Texas-Instruments/TLV320AIC3101IRHBR?qs=t6sYTo5dwUwRG5oY%252BZIOYw%3D%3D</t>
  </si>
  <si>
    <t>https://www.mouser.com/ProductDetail/Espressif-Systems/ESP32-WROVER-E-N16R8?qs=Li%252BoUPsLEnsfUZ%252By2eNF6g%3D%3D</t>
  </si>
  <si>
    <t>https://www.mouser.com/ProductDetail/Murata-Electronics/GRM21BR60G107ME11K?qs=Ey7%2FXF42M3fOLsEspt2sSQ%3D%3D</t>
  </si>
  <si>
    <t>https://www.mouser.com/ProductDetail/Texas-Instruments/TLV75801PDBVR?qs=vLWxofP3U2xDujOQuzp8eQ%3D%3D</t>
  </si>
  <si>
    <t>2k</t>
  </si>
  <si>
    <t>R4, R9</t>
  </si>
  <si>
    <t>3k</t>
  </si>
  <si>
    <t>R10,R13,R14,R15,R19,R20,R21,R24,R29,R32,R34</t>
  </si>
  <si>
    <t>https://www.mouser.com/ProductDetail/YAGEO/RT0805FRE133KL?qs=sGAEpiMZZMvdGkrng054t7z4BkURc4Lzitz51f%2FZYiFQYXZYalbkUQ%3D%3D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</si>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</sst>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4DB27-0F58-3E49-B3CA-20EE6E4B28C5}">
  <dimension ref="A1:H45"/>
  <sheetViews>
    <sheetView tabSelected="1" topLeftCell="B1" workbookViewId="0">
      <selection activeCell="G30" sqref="G30"/>
    </sheetView>
  </sheetViews>
  <sheetFormatPr baseColWidth="10" defaultRowHeight="16" x14ac:dyDescent="0.2"/>
  <cols>
    <col min="1" max="1" width="15.6640625" customWidth="1"/>
    <col min="2" max="2" width="17.83203125" customWidth="1"/>
    <col min="3" max="3" width="67.5" customWidth="1"/>
    <col min="7" max="7" width="17.1640625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112</v>
      </c>
      <c r="G1" t="s">
        <v>113</v>
      </c>
      <c r="H1" t="s">
        <v>114</v>
      </c>
    </row>
    <row r="2" spans="1:8" x14ac:dyDescent="0.2">
      <c r="A2" t="s">
        <v>5</v>
      </c>
      <c r="B2" t="s">
        <v>6</v>
      </c>
      <c r="C2" t="s">
        <v>7</v>
      </c>
      <c r="D2">
        <v>14</v>
      </c>
      <c r="F2">
        <f>100-12</f>
        <v>88</v>
      </c>
    </row>
    <row r="3" spans="1:8" x14ac:dyDescent="0.2">
      <c r="A3" t="s">
        <v>8</v>
      </c>
      <c r="B3" t="s">
        <v>9</v>
      </c>
      <c r="C3" t="s">
        <v>7</v>
      </c>
      <c r="D3">
        <v>8</v>
      </c>
      <c r="F3">
        <f>100-8</f>
        <v>92</v>
      </c>
    </row>
    <row r="4" spans="1:8" x14ac:dyDescent="0.2">
      <c r="A4" t="s">
        <v>10</v>
      </c>
      <c r="B4" t="s">
        <v>11</v>
      </c>
      <c r="C4" t="s">
        <v>7</v>
      </c>
      <c r="D4">
        <v>10</v>
      </c>
      <c r="F4">
        <f>100-90</f>
        <v>10</v>
      </c>
    </row>
    <row r="5" spans="1:8" x14ac:dyDescent="0.2">
      <c r="A5" t="s">
        <v>12</v>
      </c>
      <c r="B5" t="s">
        <v>13</v>
      </c>
      <c r="C5" t="s">
        <v>7</v>
      </c>
      <c r="D5">
        <v>3</v>
      </c>
      <c r="F5">
        <f>100-3</f>
        <v>97</v>
      </c>
    </row>
    <row r="6" spans="1:8" x14ac:dyDescent="0.2">
      <c r="A6" t="s">
        <v>14</v>
      </c>
      <c r="B6" t="s">
        <v>15</v>
      </c>
      <c r="C6" t="s">
        <v>7</v>
      </c>
      <c r="D6">
        <v>1</v>
      </c>
      <c r="F6">
        <f>10-1</f>
        <v>9</v>
      </c>
    </row>
    <row r="7" spans="1:8" x14ac:dyDescent="0.2">
      <c r="A7" t="s">
        <v>16</v>
      </c>
      <c r="B7" t="s">
        <v>17</v>
      </c>
      <c r="C7" t="s">
        <v>7</v>
      </c>
      <c r="D7">
        <v>1</v>
      </c>
      <c r="F7">
        <f>10-1</f>
        <v>9</v>
      </c>
    </row>
    <row r="8" spans="1:8" x14ac:dyDescent="0.2">
      <c r="A8" t="s">
        <v>18</v>
      </c>
      <c r="B8" t="s">
        <v>19</v>
      </c>
      <c r="C8" t="s">
        <v>7</v>
      </c>
      <c r="D8">
        <v>1</v>
      </c>
      <c r="F8">
        <f>100-10</f>
        <v>90</v>
      </c>
    </row>
    <row r="9" spans="1:8" x14ac:dyDescent="0.2">
      <c r="A9" t="s">
        <v>20</v>
      </c>
      <c r="B9" t="s">
        <v>9</v>
      </c>
      <c r="C9" t="s">
        <v>7</v>
      </c>
      <c r="D9">
        <v>4</v>
      </c>
      <c r="E9" t="s">
        <v>4</v>
      </c>
      <c r="F9">
        <f>100-10</f>
        <v>90</v>
      </c>
    </row>
    <row r="10" spans="1:8" x14ac:dyDescent="0.2">
      <c r="A10" t="s">
        <v>21</v>
      </c>
      <c r="B10" t="s">
        <v>22</v>
      </c>
      <c r="C10" t="s">
        <v>7</v>
      </c>
      <c r="D10">
        <v>1</v>
      </c>
      <c r="G10">
        <v>10</v>
      </c>
      <c r="H10" t="s">
        <v>123</v>
      </c>
    </row>
    <row r="11" spans="1:8" x14ac:dyDescent="0.2">
      <c r="A11" t="s">
        <v>23</v>
      </c>
      <c r="B11" t="s">
        <v>24</v>
      </c>
      <c r="C11" t="s">
        <v>25</v>
      </c>
      <c r="D11">
        <v>5</v>
      </c>
      <c r="G11" t="s">
        <v>130</v>
      </c>
    </row>
    <row r="12" spans="1:8" x14ac:dyDescent="0.2">
      <c r="A12" t="s">
        <v>26</v>
      </c>
      <c r="B12" t="s">
        <v>27</v>
      </c>
      <c r="C12" t="s">
        <v>28</v>
      </c>
      <c r="D12">
        <v>1</v>
      </c>
      <c r="G12" t="s">
        <v>130</v>
      </c>
    </row>
    <row r="13" spans="1:8" x14ac:dyDescent="0.2">
      <c r="A13" t="s">
        <v>29</v>
      </c>
      <c r="B13" t="s">
        <v>30</v>
      </c>
      <c r="C13" t="s">
        <v>31</v>
      </c>
      <c r="D13">
        <v>1</v>
      </c>
      <c r="G13">
        <v>10</v>
      </c>
      <c r="H13" t="s">
        <v>118</v>
      </c>
    </row>
    <row r="14" spans="1:8" x14ac:dyDescent="0.2">
      <c r="A14" t="s">
        <v>32</v>
      </c>
      <c r="B14" t="s">
        <v>33</v>
      </c>
      <c r="C14" t="s">
        <v>34</v>
      </c>
      <c r="D14">
        <v>2</v>
      </c>
      <c r="G14">
        <v>10</v>
      </c>
      <c r="H14" t="s">
        <v>117</v>
      </c>
    </row>
    <row r="15" spans="1:8" x14ac:dyDescent="0.2">
      <c r="A15" t="s">
        <v>35</v>
      </c>
      <c r="B15" t="s">
        <v>36</v>
      </c>
      <c r="C15" t="s">
        <v>37</v>
      </c>
      <c r="D15">
        <v>1</v>
      </c>
      <c r="F15">
        <v>1</v>
      </c>
      <c r="G15">
        <v>2</v>
      </c>
      <c r="H15" t="s">
        <v>121</v>
      </c>
    </row>
    <row r="16" spans="1:8" x14ac:dyDescent="0.2">
      <c r="A16" t="s">
        <v>38</v>
      </c>
      <c r="B16" t="s">
        <v>39</v>
      </c>
      <c r="C16" t="s">
        <v>40</v>
      </c>
      <c r="D16">
        <v>1</v>
      </c>
      <c r="F16">
        <v>0</v>
      </c>
      <c r="G16">
        <v>4</v>
      </c>
      <c r="H16" t="s">
        <v>120</v>
      </c>
    </row>
    <row r="17" spans="1:8" x14ac:dyDescent="0.2">
      <c r="A17" t="s">
        <v>41</v>
      </c>
      <c r="B17" t="s">
        <v>42</v>
      </c>
      <c r="C17" t="s">
        <v>43</v>
      </c>
      <c r="D17">
        <v>1</v>
      </c>
      <c r="G17">
        <v>3</v>
      </c>
      <c r="H17" t="s">
        <v>119</v>
      </c>
    </row>
    <row r="18" spans="1:8" x14ac:dyDescent="0.2">
      <c r="A18" t="s">
        <v>44</v>
      </c>
      <c r="B18" t="s">
        <v>45</v>
      </c>
      <c r="C18" t="s">
        <v>46</v>
      </c>
      <c r="D18">
        <v>2</v>
      </c>
      <c r="F18">
        <f>10-2</f>
        <v>8</v>
      </c>
    </row>
    <row r="19" spans="1:8" x14ac:dyDescent="0.2">
      <c r="A19" t="s">
        <v>47</v>
      </c>
      <c r="B19" t="s">
        <v>48</v>
      </c>
      <c r="C19" t="s">
        <v>49</v>
      </c>
      <c r="D19">
        <v>1</v>
      </c>
      <c r="G19">
        <v>2</v>
      </c>
      <c r="H19" t="s">
        <v>122</v>
      </c>
    </row>
    <row r="20" spans="1:8" x14ac:dyDescent="0.2">
      <c r="A20" t="s">
        <v>50</v>
      </c>
      <c r="B20" t="s">
        <v>51</v>
      </c>
      <c r="C20" t="s">
        <v>52</v>
      </c>
      <c r="D20">
        <v>1</v>
      </c>
      <c r="F20">
        <v>2</v>
      </c>
    </row>
    <row r="21" spans="1:8" x14ac:dyDescent="0.2">
      <c r="A21" t="s">
        <v>53</v>
      </c>
      <c r="B21" t="s">
        <v>54</v>
      </c>
      <c r="C21" t="s">
        <v>55</v>
      </c>
      <c r="D21">
        <v>1</v>
      </c>
      <c r="F21">
        <v>10</v>
      </c>
    </row>
    <row r="22" spans="1:8" x14ac:dyDescent="0.2">
      <c r="A22" t="s">
        <v>56</v>
      </c>
      <c r="B22" t="s">
        <v>57</v>
      </c>
      <c r="C22" t="s">
        <v>58</v>
      </c>
      <c r="D22">
        <v>3</v>
      </c>
      <c r="F22" t="s">
        <v>115</v>
      </c>
    </row>
    <row r="23" spans="1:8" x14ac:dyDescent="0.2">
      <c r="A23" t="s">
        <v>59</v>
      </c>
      <c r="B23" t="s">
        <v>60</v>
      </c>
      <c r="C23" t="s">
        <v>61</v>
      </c>
      <c r="D23">
        <v>1</v>
      </c>
      <c r="F23">
        <f>4</f>
        <v>4</v>
      </c>
    </row>
    <row r="24" spans="1:8" x14ac:dyDescent="0.2">
      <c r="A24" t="s">
        <v>62</v>
      </c>
      <c r="B24" t="s">
        <v>63</v>
      </c>
      <c r="C24" t="s">
        <v>64</v>
      </c>
      <c r="D24">
        <v>1</v>
      </c>
      <c r="F24" t="s">
        <v>115</v>
      </c>
    </row>
    <row r="25" spans="1:8" x14ac:dyDescent="0.2">
      <c r="A25" t="s">
        <v>65</v>
      </c>
      <c r="B25" t="s">
        <v>66</v>
      </c>
      <c r="C25" t="s">
        <v>67</v>
      </c>
      <c r="D25">
        <v>2</v>
      </c>
      <c r="F25" t="s">
        <v>115</v>
      </c>
    </row>
    <row r="26" spans="1:8" x14ac:dyDescent="0.2">
      <c r="A26" t="s">
        <v>68</v>
      </c>
      <c r="B26" t="s">
        <v>69</v>
      </c>
      <c r="C26" t="s">
        <v>70</v>
      </c>
      <c r="D26">
        <v>1</v>
      </c>
      <c r="F26" t="s">
        <v>115</v>
      </c>
    </row>
    <row r="27" spans="1:8" x14ac:dyDescent="0.2">
      <c r="A27" t="s">
        <v>71</v>
      </c>
      <c r="B27" t="s">
        <v>72</v>
      </c>
      <c r="C27" t="s">
        <v>58</v>
      </c>
      <c r="D27">
        <v>1</v>
      </c>
      <c r="F27" t="s">
        <v>115</v>
      </c>
    </row>
    <row r="28" spans="1:8" x14ac:dyDescent="0.2">
      <c r="A28" t="s">
        <v>73</v>
      </c>
      <c r="B28" t="s">
        <v>74</v>
      </c>
      <c r="C28" t="s">
        <v>75</v>
      </c>
      <c r="D28">
        <v>3</v>
      </c>
      <c r="F28">
        <f>20-3</f>
        <v>17</v>
      </c>
    </row>
    <row r="29" spans="1:8" x14ac:dyDescent="0.2">
      <c r="A29" t="s">
        <v>76</v>
      </c>
      <c r="B29" t="s">
        <v>77</v>
      </c>
      <c r="C29" t="s">
        <v>78</v>
      </c>
      <c r="D29">
        <v>1</v>
      </c>
      <c r="F29">
        <v>1</v>
      </c>
      <c r="G29">
        <v>2</v>
      </c>
      <c r="H29" t="s">
        <v>124</v>
      </c>
    </row>
    <row r="30" spans="1:8" x14ac:dyDescent="0.2">
      <c r="A30" t="s">
        <v>79</v>
      </c>
      <c r="B30" t="s">
        <v>80</v>
      </c>
      <c r="C30" t="s">
        <v>81</v>
      </c>
      <c r="D30">
        <v>1</v>
      </c>
      <c r="F30">
        <f>10-1</f>
        <v>9</v>
      </c>
    </row>
    <row r="31" spans="1:8" x14ac:dyDescent="0.2">
      <c r="A31" t="s">
        <v>82</v>
      </c>
      <c r="B31" t="s">
        <v>83</v>
      </c>
      <c r="C31" t="s">
        <v>84</v>
      </c>
      <c r="D31">
        <v>2</v>
      </c>
      <c r="G31">
        <v>10</v>
      </c>
      <c r="H31" t="s">
        <v>116</v>
      </c>
    </row>
    <row r="32" spans="1:8" x14ac:dyDescent="0.2">
      <c r="A32" t="s">
        <v>85</v>
      </c>
      <c r="B32" t="s">
        <v>86</v>
      </c>
      <c r="C32" t="s">
        <v>87</v>
      </c>
      <c r="D32">
        <v>6</v>
      </c>
      <c r="F32">
        <f>100-6</f>
        <v>94</v>
      </c>
    </row>
    <row r="33" spans="1:8" x14ac:dyDescent="0.2">
      <c r="A33" t="s">
        <v>126</v>
      </c>
      <c r="B33" t="s">
        <v>127</v>
      </c>
      <c r="C33" t="s">
        <v>87</v>
      </c>
      <c r="D33">
        <v>3</v>
      </c>
      <c r="G33">
        <v>100</v>
      </c>
      <c r="H33" t="s">
        <v>129</v>
      </c>
    </row>
    <row r="34" spans="1:8" x14ac:dyDescent="0.2">
      <c r="A34" t="s">
        <v>88</v>
      </c>
      <c r="B34" t="s">
        <v>125</v>
      </c>
      <c r="C34" t="s">
        <v>87</v>
      </c>
      <c r="D34">
        <v>2</v>
      </c>
      <c r="G34" t="s">
        <v>130</v>
      </c>
    </row>
    <row r="35" spans="1:8" x14ac:dyDescent="0.2">
      <c r="A35" t="s">
        <v>89</v>
      </c>
      <c r="B35" t="s">
        <v>90</v>
      </c>
      <c r="C35" t="s">
        <v>87</v>
      </c>
      <c r="D35">
        <v>2</v>
      </c>
      <c r="F35">
        <f>100-2</f>
        <v>98</v>
      </c>
    </row>
    <row r="36" spans="1:8" x14ac:dyDescent="0.2">
      <c r="A36" t="s">
        <v>128</v>
      </c>
      <c r="B36" t="s">
        <v>91</v>
      </c>
      <c r="C36" t="s">
        <v>87</v>
      </c>
      <c r="D36">
        <v>11</v>
      </c>
      <c r="F36">
        <f>100-13</f>
        <v>87</v>
      </c>
    </row>
    <row r="37" spans="1:8" x14ac:dyDescent="0.2">
      <c r="A37" t="s">
        <v>92</v>
      </c>
      <c r="B37">
        <v>0</v>
      </c>
      <c r="C37" t="s">
        <v>87</v>
      </c>
      <c r="D37">
        <v>5</v>
      </c>
      <c r="F37">
        <f>100-7</f>
        <v>93</v>
      </c>
    </row>
    <row r="38" spans="1:8" x14ac:dyDescent="0.2">
      <c r="A38" t="s">
        <v>93</v>
      </c>
      <c r="B38" t="s">
        <v>94</v>
      </c>
      <c r="C38" t="s">
        <v>87</v>
      </c>
      <c r="D38">
        <v>1</v>
      </c>
      <c r="F38">
        <f>99</f>
        <v>99</v>
      </c>
    </row>
    <row r="39" spans="1:8" x14ac:dyDescent="0.2">
      <c r="A39" t="s">
        <v>95</v>
      </c>
      <c r="B39" t="s">
        <v>96</v>
      </c>
      <c r="C39" t="s">
        <v>87</v>
      </c>
      <c r="D39">
        <v>2</v>
      </c>
      <c r="F39">
        <f>100-2</f>
        <v>98</v>
      </c>
    </row>
    <row r="40" spans="1:8" x14ac:dyDescent="0.2">
      <c r="A40" t="s">
        <v>97</v>
      </c>
      <c r="B40" t="s">
        <v>98</v>
      </c>
      <c r="C40" t="s">
        <v>87</v>
      </c>
      <c r="D40">
        <v>2</v>
      </c>
      <c r="F40">
        <f>100-2</f>
        <v>98</v>
      </c>
    </row>
    <row r="41" spans="1:8" x14ac:dyDescent="0.2">
      <c r="A41" t="s">
        <v>99</v>
      </c>
      <c r="B41" t="s">
        <v>100</v>
      </c>
      <c r="C41" t="s">
        <v>87</v>
      </c>
      <c r="D41">
        <v>1</v>
      </c>
      <c r="F41">
        <f>20-1</f>
        <v>19</v>
      </c>
    </row>
    <row r="42" spans="1:8" x14ac:dyDescent="0.2">
      <c r="A42" t="s">
        <v>101</v>
      </c>
      <c r="B42" t="s">
        <v>102</v>
      </c>
      <c r="C42" t="s">
        <v>87</v>
      </c>
      <c r="D42">
        <v>1</v>
      </c>
      <c r="F42">
        <f>20-1</f>
        <v>19</v>
      </c>
    </row>
    <row r="43" spans="1:8" x14ac:dyDescent="0.2">
      <c r="A43" t="s">
        <v>103</v>
      </c>
      <c r="B43" t="s">
        <v>104</v>
      </c>
      <c r="C43" t="s">
        <v>105</v>
      </c>
      <c r="D43">
        <v>5</v>
      </c>
      <c r="F43" t="s">
        <v>115</v>
      </c>
    </row>
    <row r="44" spans="1:8" x14ac:dyDescent="0.2">
      <c r="A44" t="s">
        <v>106</v>
      </c>
      <c r="B44" t="s">
        <v>107</v>
      </c>
      <c r="C44" t="s">
        <v>108</v>
      </c>
      <c r="D44">
        <v>2</v>
      </c>
      <c r="F44">
        <f>5-1</f>
        <v>4</v>
      </c>
    </row>
    <row r="45" spans="1:8" x14ac:dyDescent="0.2">
      <c r="A45" t="s">
        <v>109</v>
      </c>
      <c r="B45" t="s">
        <v>110</v>
      </c>
      <c r="C45" t="s">
        <v>111</v>
      </c>
      <c r="D45">
        <v>32</v>
      </c>
      <c r="F45" t="s">
        <v>115</v>
      </c>
    </row>
  </sheetData>
  <conditionalFormatting sqref="F2:F45">
    <cfRule type="expression" dxfId="1" priority="2">
      <formula>OR(F2=0,F2="")</formula>
    </cfRule>
  </conditionalFormatting>
  <conditionalFormatting sqref="G2:G45">
    <cfRule type="expression" dxfId="0" priority="1">
      <formula>AND(G2="",OR(F2="",F2=0))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bom_rev3.1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Capgras</cp:lastModifiedBy>
  <dcterms:created xsi:type="dcterms:W3CDTF">2026-03-17T19:48:36Z</dcterms:created>
  <dcterms:modified xsi:type="dcterms:W3CDTF">2026-03-17T20:33:51Z</dcterms:modified>
</cp:coreProperties>
</file>